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 sheet" sheetId="1" r:id="rId5"/>
    <sheet state="visible" name="feedback sheet" sheetId="2" r:id="rId6"/>
  </sheets>
  <definedNames/>
  <calcPr/>
</workbook>
</file>

<file path=xl/sharedStrings.xml><?xml version="1.0" encoding="utf-8"?>
<sst xmlns="http://schemas.openxmlformats.org/spreadsheetml/2006/main" count="43" uniqueCount="25">
  <si>
    <t>ticket_id</t>
  </si>
  <si>
    <t>created_at</t>
  </si>
  <si>
    <t>closed_at</t>
  </si>
  <si>
    <t>outlet_id</t>
  </si>
  <si>
    <t>cms_id</t>
  </si>
  <si>
    <t>Same Day</t>
  </si>
  <si>
    <t>Same Hour</t>
  </si>
  <si>
    <t>isu-sjd-457</t>
  </si>
  <si>
    <t>A</t>
  </si>
  <si>
    <t>vew-iuvd-12</t>
  </si>
  <si>
    <t>No</t>
  </si>
  <si>
    <t>qer-fal-092</t>
  </si>
  <si>
    <t>B</t>
  </si>
  <si>
    <t>cms-002</t>
  </si>
  <si>
    <t>Yes</t>
  </si>
  <si>
    <t>abc-123</t>
  </si>
  <si>
    <t>cms-003</t>
  </si>
  <si>
    <t>xyz-789</t>
  </si>
  <si>
    <t>cms-004</t>
  </si>
  <si>
    <t>feedback_at</t>
  </si>
  <si>
    <t>feedback_rating</t>
  </si>
  <si>
    <t>ticket_created_at</t>
  </si>
  <si>
    <t>Outlet</t>
  </si>
  <si>
    <t>Same Day Count</t>
  </si>
  <si>
    <t>Same Hour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</si>
</sst>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44427.69841435185</v>
      </c>
      <c r="C2" s="3">
        <v>44430.52328703704</v>
      </c>
      <c r="D2" s="2" t="s">
        <v>8</v>
      </c>
      <c r="E2" s="2" t="s">
        <v>9</v>
      </c>
      <c r="F2" s="2" t="s">
        <v>10</v>
      </c>
      <c r="G2" s="2" t="s">
        <v>10</v>
      </c>
    </row>
    <row r="3">
      <c r="A3" s="2" t="s">
        <v>11</v>
      </c>
      <c r="B3" s="3">
        <v>44429.464837962965</v>
      </c>
      <c r="C3" s="3">
        <v>44429.717881944445</v>
      </c>
      <c r="D3" s="2" t="s">
        <v>12</v>
      </c>
      <c r="E3" s="2" t="s">
        <v>13</v>
      </c>
      <c r="F3" s="2" t="s">
        <v>14</v>
      </c>
      <c r="G3" s="2" t="s">
        <v>10</v>
      </c>
    </row>
    <row r="4">
      <c r="A4" s="2" t="s">
        <v>15</v>
      </c>
      <c r="B4" s="3">
        <v>44429.416666666664</v>
      </c>
      <c r="C4" s="3">
        <v>44429.4375</v>
      </c>
      <c r="D4" s="2" t="s">
        <v>8</v>
      </c>
      <c r="E4" s="2" t="s">
        <v>16</v>
      </c>
      <c r="F4" s="2" t="s">
        <v>14</v>
      </c>
      <c r="G4" s="2" t="s">
        <v>14</v>
      </c>
    </row>
    <row r="5">
      <c r="A5" s="2" t="s">
        <v>17</v>
      </c>
      <c r="B5" s="3">
        <v>44430.385416666664</v>
      </c>
      <c r="C5" s="3">
        <v>44430.40625</v>
      </c>
      <c r="D5" s="2" t="s">
        <v>12</v>
      </c>
      <c r="E5" s="2" t="s">
        <v>18</v>
      </c>
      <c r="F5" s="2" t="s">
        <v>14</v>
      </c>
      <c r="G5" s="2" t="s">
        <v>14</v>
      </c>
    </row>
    <row r="6"/>
    <row r="7"/>
    <row r="8">
      <c r="F8" s="2" t="str">
        <f>IF(INT(B2)=INT(C2),"Yes","No")</f>
        <v>No</v>
      </c>
    </row>
    <row r="9">
      <c r="F9" s="2" t="str">
        <f>IF(AND(INT(B2)=INT(C2),HOUR(B2)=HOUR(C2)),"Yes","No")</f>
        <v>No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3.75"/>
    <col customWidth="1" min="4" max="4" width="18.5"/>
    <col customWidth="1" min="6" max="6" width="15.0"/>
  </cols>
  <sheetData>
    <row r="1">
      <c r="A1" s="4" t="s">
        <v>4</v>
      </c>
      <c r="B1" s="4" t="s">
        <v>19</v>
      </c>
      <c r="C1" s="4" t="s">
        <v>20</v>
      </c>
      <c r="D1" s="4" t="s">
        <v>21</v>
      </c>
    </row>
    <row r="2">
      <c r="A2" s="5" t="s">
        <v>9</v>
      </c>
      <c r="B2" s="6">
        <v>44429.560277777775</v>
      </c>
      <c r="C2" s="5">
        <v>3.0</v>
      </c>
      <c r="D2" s="6">
        <v>44427.69841435185</v>
      </c>
    </row>
    <row r="3">
      <c r="A3" s="5" t="s">
        <v>13</v>
      </c>
      <c r="B3" s="6">
        <v>44430.416666666664</v>
      </c>
      <c r="C3" s="5">
        <v>4.0</v>
      </c>
      <c r="D3" s="6">
        <v>44429.464837962965</v>
      </c>
    </row>
    <row r="4">
      <c r="A4" s="5" t="s">
        <v>16</v>
      </c>
      <c r="B4" s="6">
        <v>44429.458333333336</v>
      </c>
      <c r="C4" s="5">
        <v>5.0</v>
      </c>
      <c r="D4" s="6">
        <v>44429.416666666664</v>
      </c>
    </row>
    <row r="5">
      <c r="A5" s="5" t="s">
        <v>18</v>
      </c>
      <c r="B5" s="6">
        <v>44430.5</v>
      </c>
      <c r="C5" s="5">
        <v>4.0</v>
      </c>
      <c r="D5" s="6">
        <v>44430.385416666664</v>
      </c>
    </row>
    <row r="7">
      <c r="E7" s="5" t="s">
        <v>22</v>
      </c>
      <c r="F7" s="5" t="s">
        <v>23</v>
      </c>
    </row>
    <row r="8">
      <c r="E8" s="5" t="s">
        <v>8</v>
      </c>
      <c r="F8" s="7">
        <f>COUNTIFS(ticket!D:D,"A",ticket!F:F,"Yes")</f>
        <v>0</v>
      </c>
    </row>
    <row r="9">
      <c r="E9" s="5" t="s">
        <v>12</v>
      </c>
      <c r="F9" s="7">
        <f>COUNTIFS(ticket!D:D,"B",ticket!F:F,"Yes")</f>
        <v>0</v>
      </c>
    </row>
    <row r="12">
      <c r="E12" s="5" t="s">
        <v>22</v>
      </c>
      <c r="F12" s="5" t="s">
        <v>24</v>
      </c>
    </row>
    <row r="13">
      <c r="E13" s="5" t="s">
        <v>8</v>
      </c>
      <c r="F13" s="7">
        <f>COUNTIFS(ticket!D:D,"A",ticket!G:G,"Yes")</f>
        <v>0</v>
      </c>
    </row>
    <row r="14">
      <c r="E14" s="5" t="s">
        <v>12</v>
      </c>
      <c r="F14" s="7">
        <f>COUNTIFS(ticket!D:D,"B",ticket!G:G,"Yes")</f>
        <v>0</v>
      </c>
    </row>
  </sheetData>
  <drawing r:id="rId1"/>
</worksheet>
</file>